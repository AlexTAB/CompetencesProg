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cbal\Documents\Projet de Rrcherche Laura\Apprentissage\Langues\VBA\VBA pour EXCEL\"/>
    </mc:Choice>
  </mc:AlternateContent>
  <xr:revisionPtr revIDLastSave="0" documentId="13_ncr:1_{AD2E7FC3-99BC-4AFC-8EC8-6261025BC445}" xr6:coauthVersionLast="46" xr6:coauthVersionMax="46" xr10:uidLastSave="{00000000-0000-0000-0000-000000000000}"/>
  <bookViews>
    <workbookView xWindow="-120" yWindow="-120" windowWidth="24240" windowHeight="13140" activeTab="2" xr2:uid="{00000000-000D-0000-FFFF-FFFF00000000}"/>
  </bookViews>
  <sheets>
    <sheet name="SuiviProgression" sheetId="3" r:id="rId1"/>
    <sheet name="testFonction" sheetId="4" r:id="rId2"/>
    <sheet name="exo" sheetId="5" r:id="rId3"/>
    <sheet name="Feuil1Test" sheetId="1" r:id="rId4"/>
    <sheet name="Feuil2" sheetId="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6" i="5" l="1" a="1"/>
  <c r="B55" i="5" a="1"/>
  <c r="B42" i="5" a="1"/>
  <c r="B54" i="5" a="1"/>
  <c r="B53" i="5" a="1"/>
  <c r="B52" i="5" a="1"/>
  <c r="B49" i="5" a="1"/>
  <c r="A2" i="2" a="1"/>
  <c r="B10" i="4" a="1"/>
  <c r="B6" i="4" a="1"/>
  <c r="B3" i="4" a="1"/>
  <c r="B17" i="4" a="1"/>
  <c r="E27" i="5" a="1"/>
  <c r="E28" i="5" a="1"/>
  <c r="B14" i="4" a="1"/>
  <c r="B23" i="4" a="1"/>
  <c r="B43" i="5" a="1"/>
  <c r="B39" i="5" a="1"/>
  <c r="A1" i="2" a="1"/>
  <c r="B2" i="5" a="1"/>
  <c r="B7" i="4" a="1"/>
  <c r="B9" i="4" a="1"/>
  <c r="B16" i="4" a="1"/>
  <c r="E29" i="5" a="1"/>
  <c r="E30" i="5" a="1"/>
  <c r="B13" i="4" a="1"/>
  <c r="B22" i="4" a="1"/>
  <c r="B25" i="4" a="1"/>
  <c r="B36" i="5" a="1"/>
  <c r="B35" i="5" a="1"/>
  <c r="B4" i="4" a="1"/>
  <c r="E25" i="5" a="1"/>
  <c r="B15" i="4" a="1"/>
  <c r="B20" i="4" a="1"/>
  <c r="B38" i="5" a="1"/>
  <c r="B37" i="5" a="1"/>
  <c r="B44" i="5" a="1"/>
  <c r="B11" i="5" a="1"/>
  <c r="B2" i="4" a="1"/>
  <c r="B5" i="4" a="1"/>
  <c r="B19" i="4" a="1"/>
  <c r="E23" i="5" a="1"/>
  <c r="E24" i="5" a="1"/>
  <c r="E22" i="5" a="1"/>
  <c r="B12" i="4" a="1"/>
  <c r="B21" i="4" a="1"/>
  <c r="B40" i="5" a="1"/>
  <c r="B41" i="5" a="1"/>
  <c r="B45" i="5" a="1"/>
  <c r="B11" i="4" a="1"/>
  <c r="B8" i="4" a="1"/>
  <c r="B18" i="4" a="1"/>
  <c r="E26" i="5" a="1"/>
  <c r="B24" i="4" a="1"/>
  <c r="B48" i="5" a="1"/>
  <c r="B47" i="5" a="1"/>
  <c r="B46" i="5" a="1"/>
  <c r="B56" i="5" l="1"/>
  <c r="B55" i="5"/>
  <c r="B42" i="5"/>
  <c r="B54" i="5"/>
  <c r="B53" i="5"/>
  <c r="B52" i="5"/>
  <c r="B49" i="5"/>
  <c r="B48" i="5"/>
  <c r="B47" i="5"/>
  <c r="B46" i="5"/>
  <c r="B45" i="5"/>
  <c r="B44" i="5"/>
  <c r="B43" i="5"/>
  <c r="B25" i="4"/>
  <c r="B35" i="5"/>
  <c r="B39" i="5"/>
  <c r="B37" i="5"/>
  <c r="B41" i="5"/>
  <c r="B36" i="5"/>
  <c r="B38" i="5"/>
  <c r="B40" i="5"/>
  <c r="B24" i="4"/>
  <c r="B23" i="4"/>
  <c r="B22" i="4"/>
  <c r="B21" i="4"/>
  <c r="B20" i="4"/>
  <c r="B19" i="4"/>
  <c r="B18" i="4"/>
  <c r="B17" i="4"/>
  <c r="B16" i="4"/>
  <c r="E30" i="5"/>
  <c r="E28" i="5"/>
  <c r="E26" i="5"/>
  <c r="E24" i="5"/>
  <c r="E29" i="5"/>
  <c r="E27" i="5"/>
  <c r="E25" i="5"/>
  <c r="E23" i="5"/>
  <c r="E22" i="5"/>
  <c r="B15" i="4"/>
  <c r="B14" i="4"/>
  <c r="B13" i="4"/>
  <c r="B12" i="4"/>
  <c r="A2" i="2"/>
  <c r="A1" i="2"/>
  <c r="B11" i="5"/>
  <c r="B11" i="4"/>
  <c r="B10" i="4"/>
  <c r="B2" i="5"/>
  <c r="B9" i="4"/>
  <c r="B8" i="4"/>
  <c r="B7" i="4"/>
  <c r="B6" i="4"/>
  <c r="B5" i="4"/>
  <c r="B4" i="4"/>
  <c r="B3" i="4"/>
  <c r="B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<sst xmlns="http://schemas.openxmlformats.org/spreadsheetml/2006/main" count="80" uniqueCount="59">
  <si>
    <t>nom</t>
  </si>
  <si>
    <t>résultat</t>
  </si>
  <si>
    <t>somPremEnt</t>
  </si>
  <si>
    <t>sommeEnt</t>
  </si>
  <si>
    <t>date</t>
  </si>
  <si>
    <t>page</t>
  </si>
  <si>
    <t>aireTriangle</t>
  </si>
  <si>
    <t>nbreSolutions</t>
  </si>
  <si>
    <t>nbreSolutions1</t>
  </si>
  <si>
    <t>nbreSolutions2</t>
  </si>
  <si>
    <t>nbreSolutions3</t>
  </si>
  <si>
    <t>addition</t>
  </si>
  <si>
    <t>affectation1</t>
  </si>
  <si>
    <t>Chapitre 1</t>
  </si>
  <si>
    <t>Exercice 1</t>
  </si>
  <si>
    <t>Question 1</t>
  </si>
  <si>
    <t>Tableau évolution des variables</t>
  </si>
  <si>
    <t>Etape</t>
  </si>
  <si>
    <t>Déclaration</t>
  </si>
  <si>
    <t>Initialisation</t>
  </si>
  <si>
    <t>variable</t>
  </si>
  <si>
    <t>a</t>
  </si>
  <si>
    <t>b</t>
  </si>
  <si>
    <t>c</t>
  </si>
  <si>
    <t>d</t>
  </si>
  <si>
    <t>bolEstHorsInterval</t>
  </si>
  <si>
    <t>affectation2</t>
  </si>
  <si>
    <t>retour fonction</t>
  </si>
  <si>
    <t>bolEstHorsInterval2</t>
  </si>
  <si>
    <t>doublMaximum</t>
  </si>
  <si>
    <t>lePlusGrandDes3</t>
  </si>
  <si>
    <t>x</t>
  </si>
  <si>
    <t>y</t>
  </si>
  <si>
    <t>z</t>
  </si>
  <si>
    <t>lePlusGrand3</t>
  </si>
  <si>
    <t>intNbPermut</t>
  </si>
  <si>
    <t>récursivité par vba excel validée</t>
  </si>
  <si>
    <t>note résultat renvoyé par fonction</t>
  </si>
  <si>
    <t>rouge</t>
  </si>
  <si>
    <t>rouge2</t>
  </si>
  <si>
    <t>vert</t>
  </si>
  <si>
    <t>jaune</t>
  </si>
  <si>
    <t>blanc</t>
  </si>
  <si>
    <t>bleu</t>
  </si>
  <si>
    <t>noir</t>
  </si>
  <si>
    <t>valeurCommission</t>
  </si>
  <si>
    <t>mention</t>
  </si>
  <si>
    <t>ascenseur otis</t>
  </si>
  <si>
    <t>estDansRectangle</t>
  </si>
  <si>
    <t>estDansRectangleQ2</t>
  </si>
  <si>
    <t>estDansRectangleQ2V02</t>
  </si>
  <si>
    <t>estDansRectangleQ3E1</t>
  </si>
  <si>
    <t>estDansRectangleQ3E2</t>
  </si>
  <si>
    <t>correction</t>
  </si>
  <si>
    <t>estHorsIntervalleCorr</t>
  </si>
  <si>
    <t>lePlusGrandDes2Corr</t>
  </si>
  <si>
    <t>lePlusGrandDes3Corr</t>
  </si>
  <si>
    <t>valeurCommissionCorr</t>
  </si>
  <si>
    <t>mentionCorr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</si>
</sst>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E0DC4-B895-4D6E-AE76-A5CEE5D6AA0D}">
  <sheetPr codeName="Feuil3"/>
  <dimension ref="A1:B4"/>
  <sheetViews>
    <sheetView workbookViewId="0">
      <selection activeCell="B5" sqref="B5"/>
    </sheetView>
  </sheetViews>
  <sheetFormatPr baseColWidth="10" defaultRowHeight="15" x14ac:dyDescent="0.25"/>
  <sheetData>
    <row r="1" spans="1:2" x14ac:dyDescent="0.25">
      <c r="A1" t="s">
        <v>4</v>
      </c>
      <c r="B1" t="s">
        <v>5</v>
      </c>
    </row>
    <row r="2" spans="1:2" x14ac:dyDescent="0.25">
      <c r="A2" s="1">
        <v>44200</v>
      </c>
      <c r="B2">
        <v>13</v>
      </c>
    </row>
    <row r="3" spans="1:2" x14ac:dyDescent="0.25">
      <c r="A3" s="1">
        <v>44202</v>
      </c>
      <c r="B3">
        <v>14</v>
      </c>
    </row>
    <row r="4" spans="1:2" x14ac:dyDescent="0.25">
      <c r="A4" s="1">
        <v>44210</v>
      </c>
      <c r="B4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E9DD9-ECED-40C1-B9F3-FF906B278B5A}">
  <sheetPr codeName="Feuil4"/>
  <dimension ref="A1:C25"/>
  <sheetViews>
    <sheetView workbookViewId="0">
      <selection activeCell="B26" sqref="B26"/>
    </sheetView>
  </sheetViews>
  <sheetFormatPr baseColWidth="10" defaultRowHeight="15" x14ac:dyDescent="0.25"/>
  <cols>
    <col min="1" max="1" width="22.5703125" customWidth="1"/>
    <col min="3" max="3" width="31.85546875" customWidth="1"/>
  </cols>
  <sheetData>
    <row r="1" spans="1:3" x14ac:dyDescent="0.25">
      <c r="A1" t="s">
        <v>0</v>
      </c>
      <c r="B1" t="s">
        <v>1</v>
      </c>
      <c r="C1" t="s">
        <v>37</v>
      </c>
    </row>
    <row r="2" spans="1:3" x14ac:dyDescent="0.25">
      <c r="A2" t="s">
        <v>2</v>
      </c>
      <c r="B2" cm="1">
        <f t="array" ref="B2">somPremEnt(3)</f>
        <v>6</v>
      </c>
    </row>
    <row r="3" spans="1:3" x14ac:dyDescent="0.25">
      <c r="A3" t="s">
        <v>3</v>
      </c>
      <c r="B3" cm="1">
        <f t="array" ref="B3">sommeEnt(6,9)</f>
        <v>30</v>
      </c>
    </row>
    <row r="4" spans="1:3" x14ac:dyDescent="0.25">
      <c r="A4" t="s">
        <v>6</v>
      </c>
      <c r="B4" cm="1">
        <f t="array" ref="B4">aireTriangle(3,3,3)</f>
        <v>3.897114317029974</v>
      </c>
    </row>
    <row r="5" spans="1:3" x14ac:dyDescent="0.25">
      <c r="A5" t="s">
        <v>7</v>
      </c>
      <c r="B5" cm="1">
        <f t="array" ref="B5">nbreSolutions(4,8,5)</f>
        <v>0</v>
      </c>
    </row>
    <row r="6" spans="1:3" x14ac:dyDescent="0.25">
      <c r="A6" t="s">
        <v>8</v>
      </c>
      <c r="B6" cm="1">
        <f t="array" ref="B6">nbreSolutions1(0,0)</f>
        <v>-1</v>
      </c>
    </row>
    <row r="7" spans="1:3" x14ac:dyDescent="0.25">
      <c r="A7" t="s">
        <v>9</v>
      </c>
      <c r="B7" cm="1">
        <f t="array" ref="B7">nbreSolutions2(6,3,2)</f>
        <v>0</v>
      </c>
    </row>
    <row r="8" spans="1:3" x14ac:dyDescent="0.25">
      <c r="A8" t="s">
        <v>10</v>
      </c>
      <c r="B8" cm="1">
        <f t="array" ref="B8">nbreSolutions3(0,3,2)</f>
        <v>1</v>
      </c>
    </row>
    <row r="9" spans="1:3" x14ac:dyDescent="0.25">
      <c r="A9" t="s">
        <v>11</v>
      </c>
      <c r="B9" cm="1">
        <f t="array" ref="B9">addition(2,3)</f>
        <v>5</v>
      </c>
    </row>
    <row r="10" spans="1:3" x14ac:dyDescent="0.25">
      <c r="A10" t="s">
        <v>12</v>
      </c>
      <c r="B10" cm="1">
        <f t="array" ref="B10">affectation1()</f>
        <v>12</v>
      </c>
    </row>
    <row r="11" spans="1:3" x14ac:dyDescent="0.25">
      <c r="A11" t="s">
        <v>26</v>
      </c>
      <c r="B11" cm="1">
        <f t="array" ref="B11">affectation2()</f>
        <v>74</v>
      </c>
    </row>
    <row r="12" spans="1:3" x14ac:dyDescent="0.25">
      <c r="A12" t="s">
        <v>25</v>
      </c>
      <c r="B12" t="b" cm="1">
        <f t="array" ref="B12">bolEstHorsInterval(1,3,5)</f>
        <v>1</v>
      </c>
    </row>
    <row r="13" spans="1:3" x14ac:dyDescent="0.25">
      <c r="A13" t="s">
        <v>28</v>
      </c>
      <c r="B13" t="b" cm="1">
        <f t="array" ref="B13">bolEstHorsInterval2(1,3,5)</f>
        <v>1</v>
      </c>
    </row>
    <row r="14" spans="1:3" x14ac:dyDescent="0.25">
      <c r="A14" t="s">
        <v>29</v>
      </c>
      <c r="B14" cm="1">
        <f t="array" ref="B14">doublMaximum(4,2)</f>
        <v>4</v>
      </c>
    </row>
    <row r="15" spans="1:3" x14ac:dyDescent="0.25">
      <c r="A15" t="s">
        <v>30</v>
      </c>
      <c r="B15" cm="1">
        <f t="array" ref="B15">lePlusGrandDes3(3,1,5)</f>
        <v>5</v>
      </c>
    </row>
    <row r="16" spans="1:3" x14ac:dyDescent="0.25">
      <c r="A16" t="s">
        <v>35</v>
      </c>
      <c r="B16" cm="1">
        <f t="array" ref="B16">intNbPermut(3)</f>
        <v>6</v>
      </c>
      <c r="C16" t="s">
        <v>36</v>
      </c>
    </row>
    <row r="17" spans="1:2" x14ac:dyDescent="0.25">
      <c r="A17" t="s">
        <v>38</v>
      </c>
      <c r="B17" cm="1">
        <f t="array" ref="B17">rouge()</f>
        <v>255</v>
      </c>
    </row>
    <row r="18" spans="1:2" x14ac:dyDescent="0.25">
      <c r="A18" t="s">
        <v>39</v>
      </c>
      <c r="B18" cm="1">
        <f t="array" ref="B18">rouge2()</f>
        <v>255</v>
      </c>
    </row>
    <row r="19" spans="1:2" x14ac:dyDescent="0.25">
      <c r="A19" t="s">
        <v>40</v>
      </c>
      <c r="B19" cm="1">
        <f t="array" ref="B19">vert()</f>
        <v>65280</v>
      </c>
    </row>
    <row r="20" spans="1:2" x14ac:dyDescent="0.25">
      <c r="A20" t="s">
        <v>41</v>
      </c>
      <c r="B20" cm="1">
        <f t="array" ref="B20">jaune()</f>
        <v>65535</v>
      </c>
    </row>
    <row r="21" spans="1:2" x14ac:dyDescent="0.25">
      <c r="A21" t="s">
        <v>42</v>
      </c>
      <c r="B21" cm="1">
        <f t="array" ref="B21">blanc()</f>
        <v>16777215</v>
      </c>
    </row>
    <row r="22" spans="1:2" x14ac:dyDescent="0.25">
      <c r="A22" t="s">
        <v>43</v>
      </c>
      <c r="B22" cm="1">
        <f t="array" ref="B22">bleu()</f>
        <v>16711680</v>
      </c>
    </row>
    <row r="23" spans="1:2" x14ac:dyDescent="0.25">
      <c r="A23" t="s">
        <v>44</v>
      </c>
      <c r="B23" cm="1">
        <f t="array" ref="B23">noir()</f>
        <v>0</v>
      </c>
    </row>
    <row r="24" spans="1:2" x14ac:dyDescent="0.25">
      <c r="A24" t="s">
        <v>45</v>
      </c>
      <c r="B24" cm="1">
        <f t="array" ref="B24">valeurCommission(100000,5,1.2,0.9,10000,12)</f>
        <v>935</v>
      </c>
    </row>
    <row r="25" spans="1:2" x14ac:dyDescent="0.25">
      <c r="A25" t="s">
        <v>46</v>
      </c>
      <c r="B25" t="str" cm="1">
        <f t="array" ref="B25">mention(13.5)</f>
        <v>AB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74EE7-1B38-4A46-949E-0B50AA3B988C}">
  <sheetPr codeName="Feuil5"/>
  <dimension ref="A1:G56"/>
  <sheetViews>
    <sheetView tabSelected="1" topLeftCell="A31" workbookViewId="0">
      <selection activeCell="B57" sqref="B57"/>
    </sheetView>
  </sheetViews>
  <sheetFormatPr baseColWidth="10" defaultRowHeight="15" x14ac:dyDescent="0.25"/>
  <cols>
    <col min="1" max="1" width="22.5703125" customWidth="1"/>
  </cols>
  <sheetData>
    <row r="1" spans="1:7" x14ac:dyDescent="0.25">
      <c r="A1" t="s">
        <v>13</v>
      </c>
      <c r="B1" t="s">
        <v>14</v>
      </c>
      <c r="C1" t="s">
        <v>15</v>
      </c>
    </row>
    <row r="2" spans="1:7" x14ac:dyDescent="0.25">
      <c r="A2" t="s">
        <v>12</v>
      </c>
      <c r="B2" cm="1">
        <f t="array" ref="B2">affectation1()</f>
        <v>12</v>
      </c>
    </row>
    <row r="3" spans="1:7" x14ac:dyDescent="0.25">
      <c r="A3" t="s">
        <v>16</v>
      </c>
    </row>
    <row r="4" spans="1:7" x14ac:dyDescent="0.25">
      <c r="A4" t="s">
        <v>17</v>
      </c>
      <c r="B4" t="s">
        <v>20</v>
      </c>
      <c r="C4" t="s">
        <v>21</v>
      </c>
      <c r="D4" t="s">
        <v>22</v>
      </c>
      <c r="E4" t="s">
        <v>23</v>
      </c>
      <c r="F4" t="s">
        <v>24</v>
      </c>
      <c r="G4" t="s">
        <v>12</v>
      </c>
    </row>
    <row r="5" spans="1:7" x14ac:dyDescent="0.25">
      <c r="A5" t="s">
        <v>18</v>
      </c>
    </row>
    <row r="6" spans="1:7" x14ac:dyDescent="0.25">
      <c r="A6" t="s">
        <v>19</v>
      </c>
      <c r="C6">
        <v>3</v>
      </c>
      <c r="D6">
        <v>5</v>
      </c>
      <c r="F6">
        <v>1</v>
      </c>
    </row>
    <row r="7" spans="1:7" x14ac:dyDescent="0.25">
      <c r="A7">
        <v>1</v>
      </c>
      <c r="C7">
        <v>8</v>
      </c>
      <c r="D7">
        <v>5</v>
      </c>
      <c r="F7">
        <v>1</v>
      </c>
    </row>
    <row r="8" spans="1:7" x14ac:dyDescent="0.25">
      <c r="A8">
        <v>2</v>
      </c>
      <c r="C8">
        <v>8</v>
      </c>
      <c r="D8">
        <v>5</v>
      </c>
      <c r="E8">
        <v>11</v>
      </c>
      <c r="F8">
        <v>1</v>
      </c>
    </row>
    <row r="9" spans="1:7" x14ac:dyDescent="0.25">
      <c r="A9">
        <v>3</v>
      </c>
      <c r="C9">
        <v>8</v>
      </c>
      <c r="D9">
        <v>5</v>
      </c>
      <c r="E9" s="2">
        <v>12</v>
      </c>
      <c r="F9">
        <v>1</v>
      </c>
      <c r="G9" s="2">
        <v>12</v>
      </c>
    </row>
    <row r="11" spans="1:7" x14ac:dyDescent="0.25">
      <c r="A11" t="s">
        <v>26</v>
      </c>
      <c r="B11" cm="1">
        <f t="array" ref="B11">affectation2()</f>
        <v>74</v>
      </c>
    </row>
    <row r="12" spans="1:7" x14ac:dyDescent="0.25">
      <c r="A12" t="s">
        <v>16</v>
      </c>
    </row>
    <row r="13" spans="1:7" x14ac:dyDescent="0.25">
      <c r="A13" t="s">
        <v>17</v>
      </c>
      <c r="B13" t="s">
        <v>20</v>
      </c>
      <c r="C13" t="s">
        <v>21</v>
      </c>
      <c r="D13" t="s">
        <v>22</v>
      </c>
      <c r="E13" t="s">
        <v>26</v>
      </c>
    </row>
    <row r="14" spans="1:7" x14ac:dyDescent="0.25">
      <c r="A14" t="s">
        <v>18</v>
      </c>
    </row>
    <row r="15" spans="1:7" x14ac:dyDescent="0.25">
      <c r="A15" t="s">
        <v>19</v>
      </c>
      <c r="C15">
        <v>8</v>
      </c>
      <c r="D15">
        <v>5</v>
      </c>
    </row>
    <row r="16" spans="1:7" x14ac:dyDescent="0.25">
      <c r="A16">
        <v>1</v>
      </c>
      <c r="C16">
        <v>18</v>
      </c>
      <c r="D16">
        <v>5</v>
      </c>
    </row>
    <row r="17" spans="1:6" x14ac:dyDescent="0.25">
      <c r="A17">
        <v>2</v>
      </c>
      <c r="C17">
        <v>18</v>
      </c>
      <c r="D17">
        <v>28</v>
      </c>
    </row>
    <row r="18" spans="1:6" x14ac:dyDescent="0.25">
      <c r="A18">
        <v>3</v>
      </c>
      <c r="C18">
        <v>74</v>
      </c>
      <c r="D18">
        <v>28</v>
      </c>
    </row>
    <row r="19" spans="1:6" x14ac:dyDescent="0.25">
      <c r="A19" t="s">
        <v>27</v>
      </c>
      <c r="E19">
        <v>74</v>
      </c>
    </row>
    <row r="21" spans="1:6" x14ac:dyDescent="0.25">
      <c r="B21" t="s">
        <v>31</v>
      </c>
      <c r="C21" t="s">
        <v>32</v>
      </c>
      <c r="D21" t="s">
        <v>33</v>
      </c>
      <c r="E21" t="s">
        <v>34</v>
      </c>
    </row>
    <row r="22" spans="1:6" x14ac:dyDescent="0.25">
      <c r="B22">
        <v>12</v>
      </c>
      <c r="C22">
        <v>6</v>
      </c>
      <c r="D22">
        <v>15</v>
      </c>
      <c r="E22" cm="1">
        <f t="array" ref="E22">lePlusGrandDes3(B22,C22,D22)</f>
        <v>15</v>
      </c>
    </row>
    <row r="23" spans="1:6" x14ac:dyDescent="0.25">
      <c r="B23">
        <v>6</v>
      </c>
      <c r="C23">
        <v>15</v>
      </c>
      <c r="D23">
        <v>12</v>
      </c>
      <c r="E23" cm="1">
        <f t="array" ref="E23">lePlusGrandDes3(B23,C23,D23)</f>
        <v>15</v>
      </c>
    </row>
    <row r="24" spans="1:6" x14ac:dyDescent="0.25">
      <c r="B24">
        <v>15</v>
      </c>
      <c r="C24">
        <v>12</v>
      </c>
      <c r="D24">
        <v>6</v>
      </c>
      <c r="E24" cm="1">
        <f t="array" ref="E24">lePlusGrandDes3(B24,C24,D24)</f>
        <v>15</v>
      </c>
    </row>
    <row r="25" spans="1:6" x14ac:dyDescent="0.25">
      <c r="B25">
        <v>6</v>
      </c>
      <c r="C25">
        <v>12</v>
      </c>
      <c r="D25">
        <v>15</v>
      </c>
      <c r="E25" cm="1">
        <f t="array" ref="E25">lePlusGrandDes3(B25,C25,D25)</f>
        <v>15</v>
      </c>
    </row>
    <row r="26" spans="1:6" x14ac:dyDescent="0.25">
      <c r="B26">
        <v>15</v>
      </c>
      <c r="C26">
        <v>6</v>
      </c>
      <c r="D26">
        <v>12</v>
      </c>
      <c r="E26" cm="1">
        <f t="array" ref="E26">lePlusGrandDes3(B26,C26,D26)</f>
        <v>15</v>
      </c>
    </row>
    <row r="27" spans="1:6" x14ac:dyDescent="0.25">
      <c r="B27">
        <v>12</v>
      </c>
      <c r="C27">
        <v>15</v>
      </c>
      <c r="D27">
        <v>6</v>
      </c>
      <c r="E27" cm="1">
        <f t="array" ref="E27">lePlusGrandDes3(B27,C27,D27)</f>
        <v>15</v>
      </c>
    </row>
    <row r="28" spans="1:6" x14ac:dyDescent="0.25">
      <c r="B28">
        <v>12</v>
      </c>
      <c r="C28">
        <v>12</v>
      </c>
      <c r="D28">
        <v>15</v>
      </c>
      <c r="E28" cm="1">
        <f t="array" ref="E28">lePlusGrandDes3(B28,C28,D28)</f>
        <v>15</v>
      </c>
    </row>
    <row r="29" spans="1:6" x14ac:dyDescent="0.25">
      <c r="B29">
        <v>6</v>
      </c>
      <c r="C29">
        <v>15</v>
      </c>
      <c r="D29">
        <v>6</v>
      </c>
      <c r="E29" cm="1">
        <f t="array" ref="E29">lePlusGrandDes3(B29,C29,D29)</f>
        <v>15</v>
      </c>
    </row>
    <row r="30" spans="1:6" x14ac:dyDescent="0.25">
      <c r="B30">
        <v>15</v>
      </c>
      <c r="C30">
        <v>15</v>
      </c>
      <c r="D30">
        <v>15</v>
      </c>
      <c r="E30" cm="1">
        <f t="array" ref="E30">lePlusGrandDes3(B30,C30,D30)</f>
        <v>15</v>
      </c>
    </row>
    <row r="31" spans="1:6" x14ac:dyDescent="0.25">
      <c r="F31" t="s">
        <v>47</v>
      </c>
    </row>
    <row r="32" spans="1:6" x14ac:dyDescent="0.25">
      <c r="F32">
        <v>800242407</v>
      </c>
    </row>
    <row r="33" spans="1:6" x14ac:dyDescent="0.25">
      <c r="F33">
        <v>966</v>
      </c>
    </row>
    <row r="34" spans="1:6" x14ac:dyDescent="0.25">
      <c r="F34">
        <v>967</v>
      </c>
    </row>
    <row r="35" spans="1:6" x14ac:dyDescent="0.25">
      <c r="A35" t="s">
        <v>38</v>
      </c>
      <c r="B35" cm="1">
        <f t="array" ref="B35">rouge()</f>
        <v>255</v>
      </c>
    </row>
    <row r="36" spans="1:6" x14ac:dyDescent="0.25">
      <c r="A36" t="s">
        <v>39</v>
      </c>
      <c r="B36" cm="1">
        <f t="array" ref="B36">rouge2()</f>
        <v>255</v>
      </c>
    </row>
    <row r="37" spans="1:6" x14ac:dyDescent="0.25">
      <c r="A37" t="s">
        <v>40</v>
      </c>
      <c r="B37" cm="1">
        <f t="array" ref="B37">vert()</f>
        <v>65280</v>
      </c>
    </row>
    <row r="38" spans="1:6" x14ac:dyDescent="0.25">
      <c r="A38" t="s">
        <v>41</v>
      </c>
      <c r="B38" cm="1">
        <f t="array" ref="B38">jaune()</f>
        <v>65535</v>
      </c>
    </row>
    <row r="39" spans="1:6" x14ac:dyDescent="0.25">
      <c r="A39" t="s">
        <v>42</v>
      </c>
      <c r="B39" cm="1">
        <f t="array" ref="B39">blanc()</f>
        <v>16777215</v>
      </c>
    </row>
    <row r="40" spans="1:6" x14ac:dyDescent="0.25">
      <c r="A40" t="s">
        <v>43</v>
      </c>
      <c r="B40" cm="1">
        <f t="array" ref="B40">bleu()</f>
        <v>16711680</v>
      </c>
    </row>
    <row r="41" spans="1:6" x14ac:dyDescent="0.25">
      <c r="A41" t="s">
        <v>44</v>
      </c>
      <c r="B41" cm="1">
        <f t="array" ref="B41">noir()</f>
        <v>0</v>
      </c>
    </row>
    <row r="42" spans="1:6" x14ac:dyDescent="0.25">
      <c r="A42" t="s">
        <v>45</v>
      </c>
      <c r="B42" cm="1">
        <f t="array" ref="B42">valeurCommission(100000,5,1.2,0.9,10000,12)</f>
        <v>935</v>
      </c>
    </row>
    <row r="43" spans="1:6" x14ac:dyDescent="0.25">
      <c r="A43" t="s">
        <v>46</v>
      </c>
      <c r="B43" t="str" cm="1">
        <f t="array" ref="B43">mention(13.5)</f>
        <v>AB</v>
      </c>
    </row>
    <row r="44" spans="1:6" x14ac:dyDescent="0.25">
      <c r="A44" t="s">
        <v>48</v>
      </c>
      <c r="B44" t="b" cm="1">
        <f t="array" ref="B44">estDansRectangle(4,5,3,4,7,9)</f>
        <v>0</v>
      </c>
    </row>
    <row r="45" spans="1:6" x14ac:dyDescent="0.25">
      <c r="A45" t="s">
        <v>48</v>
      </c>
      <c r="B45" t="b" cm="1">
        <f t="array" ref="B45">estDansRectangle(4,7,8,9,7,8)</f>
        <v>1</v>
      </c>
    </row>
    <row r="46" spans="1:6" x14ac:dyDescent="0.25">
      <c r="A46" t="s">
        <v>49</v>
      </c>
      <c r="B46" t="b" cm="1">
        <f t="array" ref="B46">estDansRectangleQ2(4,7,8,9,7,8)</f>
        <v>1</v>
      </c>
    </row>
    <row r="47" spans="1:6" x14ac:dyDescent="0.25">
      <c r="A47" t="s">
        <v>50</v>
      </c>
      <c r="B47" t="b" cm="1">
        <f t="array" ref="B47">estDansRectangleQ2V02(4,7,8,9,7,8)</f>
        <v>1</v>
      </c>
    </row>
    <row r="48" spans="1:6" x14ac:dyDescent="0.25">
      <c r="A48" t="s">
        <v>51</v>
      </c>
      <c r="B48" t="b" cm="1">
        <f t="array" ref="B48">estDansRectangleQ3E1(4,7,8,9,7,8)</f>
        <v>1</v>
      </c>
    </row>
    <row r="49" spans="1:2" x14ac:dyDescent="0.25">
      <c r="A49" t="s">
        <v>52</v>
      </c>
      <c r="B49" t="b" cm="1">
        <f t="array" ref="B49">estDansRectangleQ3E2(4,7,8,9,7,8)</f>
        <v>1</v>
      </c>
    </row>
    <row r="51" spans="1:2" x14ac:dyDescent="0.25">
      <c r="A51" t="s">
        <v>53</v>
      </c>
    </row>
    <row r="52" spans="1:2" x14ac:dyDescent="0.25">
      <c r="A52" t="s">
        <v>54</v>
      </c>
      <c r="B52" t="b" cm="1">
        <f t="array" ref="B52">estHorsIntervalleCorr(4,2,3)</f>
        <v>1</v>
      </c>
    </row>
    <row r="53" spans="1:2" x14ac:dyDescent="0.25">
      <c r="A53" t="s">
        <v>55</v>
      </c>
      <c r="B53" cm="1">
        <f t="array" ref="B53">lePlusGrandDes2Corr(5,8)</f>
        <v>8</v>
      </c>
    </row>
    <row r="54" spans="1:2" x14ac:dyDescent="0.25">
      <c r="A54" t="s">
        <v>56</v>
      </c>
      <c r="B54" cm="1">
        <f t="array" ref="B54">lePlusGrandDes3Corr(4,8,2)</f>
        <v>8</v>
      </c>
    </row>
    <row r="55" spans="1:2" x14ac:dyDescent="0.25">
      <c r="A55" t="s">
        <v>57</v>
      </c>
      <c r="B55" cm="1">
        <f t="array" ref="B55">valeurCommissionCorr(100000)</f>
        <v>935</v>
      </c>
    </row>
    <row r="56" spans="1:2" x14ac:dyDescent="0.25">
      <c r="A56" t="s">
        <v>58</v>
      </c>
      <c r="B56" t="str" cm="1">
        <f t="array" ref="B56">mentionCorr(13.5)</f>
        <v>AB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D15"/>
  <sheetViews>
    <sheetView workbookViewId="0">
      <selection activeCell="E10" sqref="E10"/>
    </sheetView>
  </sheetViews>
  <sheetFormatPr baseColWidth="10" defaultRowHeight="15" x14ac:dyDescent="0.25"/>
  <sheetData>
    <row r="1" spans="1:4" x14ac:dyDescent="0.25">
      <c r="A1">
        <v>3</v>
      </c>
    </row>
    <row r="2" spans="1:4" x14ac:dyDescent="0.25">
      <c r="A2">
        <v>5</v>
      </c>
    </row>
    <row r="10" spans="1:4" x14ac:dyDescent="0.25">
      <c r="D10">
        <v>3</v>
      </c>
    </row>
    <row r="11" spans="1:4" x14ac:dyDescent="0.25">
      <c r="D11">
        <v>54</v>
      </c>
    </row>
    <row r="12" spans="1:4" x14ac:dyDescent="0.25">
      <c r="D12">
        <v>45</v>
      </c>
    </row>
    <row r="13" spans="1:4" x14ac:dyDescent="0.25">
      <c r="D13">
        <v>69</v>
      </c>
    </row>
    <row r="14" spans="1:4" x14ac:dyDescent="0.25">
      <c r="D14">
        <v>7</v>
      </c>
    </row>
    <row r="15" spans="1:4" x14ac:dyDescent="0.25">
      <c r="D15">
        <v>54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A2"/>
  <sheetViews>
    <sheetView topLeftCell="A16" workbookViewId="0">
      <selection activeCell="A3" sqref="A3"/>
    </sheetView>
  </sheetViews>
  <sheetFormatPr baseColWidth="10" defaultRowHeight="15" x14ac:dyDescent="0.25"/>
  <sheetData>
    <row r="1" spans="1:1" x14ac:dyDescent="0.25">
      <c r="A1" cm="1">
        <f t="array" ref="A1">affectation1()</f>
        <v>12</v>
      </c>
    </row>
    <row r="2" spans="1:1" x14ac:dyDescent="0.25">
      <c r="A2" cm="1">
        <f t="array" ref="A2">addition(4,9)</f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SuiviProgression</vt:lpstr>
      <vt:lpstr>testFonction</vt:lpstr>
      <vt:lpstr>exo</vt:lpstr>
      <vt:lpstr>Feuil1Test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Tabot CCB</dc:creator>
  <cp:lastModifiedBy>Alexandre Tabot CCB</cp:lastModifiedBy>
  <dcterms:created xsi:type="dcterms:W3CDTF">2016-06-23T09:46:10Z</dcterms:created>
  <dcterms:modified xsi:type="dcterms:W3CDTF">2021-01-29T20:16:46Z</dcterms:modified>
</cp:coreProperties>
</file>